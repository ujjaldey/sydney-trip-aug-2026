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jjaldey/MyFolders/DOCUMENTS/TRAVEL/2026 08 SYDNEY/"/>
    </mc:Choice>
  </mc:AlternateContent>
  <xr:revisionPtr revIDLastSave="0" documentId="13_ncr:1_{DEA0D695-464C-0141-8FD2-5785D6AD912D}" xr6:coauthVersionLast="47" xr6:coauthVersionMax="47" xr10:uidLastSave="{00000000-0000-0000-0000-000000000000}"/>
  <bookViews>
    <workbookView xWindow="25180" yWindow="6260" windowWidth="28040" windowHeight="17180" xr2:uid="{75FAB252-8B63-4F4C-B2BB-A631849EB6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G19" i="1"/>
  <c r="F19" i="1"/>
  <c r="E19" i="1"/>
  <c r="G20" i="1"/>
  <c r="F20" i="1"/>
  <c r="F22" i="1" s="1"/>
  <c r="D20" i="1"/>
  <c r="D22" i="1" s="1"/>
  <c r="E20" i="1"/>
  <c r="E22" i="1" s="1"/>
  <c r="B4" i="1"/>
  <c r="C19" i="1" s="1"/>
  <c r="C22" i="1" s="1"/>
  <c r="G22" i="1" l="1"/>
  <c r="B20" i="1"/>
  <c r="B19" i="1"/>
  <c r="B22" i="1" l="1"/>
</calcChain>
</file>

<file path=xl/sharedStrings.xml><?xml version="1.0" encoding="utf-8"?>
<sst xmlns="http://schemas.openxmlformats.org/spreadsheetml/2006/main" count="47" uniqueCount="29">
  <si>
    <t>Distance</t>
  </si>
  <si>
    <t>Day 1</t>
  </si>
  <si>
    <t>Day 2</t>
  </si>
  <si>
    <t>Total</t>
  </si>
  <si>
    <t>Premium Roadside</t>
  </si>
  <si>
    <t>Reduced insurance</t>
  </si>
  <si>
    <t>Base</t>
  </si>
  <si>
    <t>Insurance+Assistance</t>
  </si>
  <si>
    <t>KM extra</t>
  </si>
  <si>
    <t>Corolla</t>
  </si>
  <si>
    <t>Extra per km</t>
  </si>
  <si>
    <t>Free km per day</t>
  </si>
  <si>
    <t>Y</t>
  </si>
  <si>
    <t>N</t>
  </si>
  <si>
    <t>Fuel $/l</t>
  </si>
  <si>
    <t>Toll - estimate</t>
  </si>
  <si>
    <t>Fuel - estimate 12kmpl</t>
  </si>
  <si>
    <t>30Aug 0800 to 01Sep 0730</t>
  </si>
  <si>
    <t>Sixt Concord</t>
  </si>
  <si>
    <t>Avis Croydon</t>
  </si>
  <si>
    <t>30Aug 0800 to 31Aug 2330</t>
  </si>
  <si>
    <t>Pickup/drop</t>
  </si>
  <si>
    <t>5 min walk</t>
  </si>
  <si>
    <t>20 min walk</t>
  </si>
  <si>
    <t>40 min walk</t>
  </si>
  <si>
    <t>45 min train &amp; walk</t>
  </si>
  <si>
    <t>Car</t>
  </si>
  <si>
    <t>GoGet</t>
  </si>
  <si>
    <t>Low Cost Car Rental Alexandria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</si>
</sst>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DB68-1327-6242-9903-7D26570CE3E2}">
  <dimension ref="A1:G22"/>
  <sheetViews>
    <sheetView tabSelected="1" workbookViewId="0">
      <selection activeCell="B9" sqref="B9"/>
    </sheetView>
  </sheetViews>
  <sheetFormatPr baseColWidth="10" defaultRowHeight="16" x14ac:dyDescent="0.2"/>
  <cols>
    <col min="1" max="1" width="25.33203125" bestFit="1" customWidth="1"/>
    <col min="2" max="7" width="26.6640625" customWidth="1"/>
  </cols>
  <sheetData>
    <row r="1" spans="1:7" x14ac:dyDescent="0.2">
      <c r="A1" t="s">
        <v>0</v>
      </c>
    </row>
    <row r="2" spans="1:7" x14ac:dyDescent="0.2">
      <c r="A2" t="s">
        <v>1</v>
      </c>
      <c r="B2">
        <v>150</v>
      </c>
    </row>
    <row r="3" spans="1:7" x14ac:dyDescent="0.2">
      <c r="A3" t="s">
        <v>2</v>
      </c>
      <c r="B3">
        <v>370</v>
      </c>
    </row>
    <row r="4" spans="1:7" x14ac:dyDescent="0.2">
      <c r="A4" t="s">
        <v>3</v>
      </c>
      <c r="B4">
        <f>SUM(B2:B3)</f>
        <v>520</v>
      </c>
    </row>
    <row r="5" spans="1:7" x14ac:dyDescent="0.2">
      <c r="A5" t="s">
        <v>14</v>
      </c>
      <c r="B5">
        <v>2</v>
      </c>
    </row>
    <row r="8" spans="1:7" x14ac:dyDescent="0.2">
      <c r="B8" s="3" t="s">
        <v>28</v>
      </c>
      <c r="C8" s="3" t="s">
        <v>27</v>
      </c>
      <c r="D8" s="3" t="s">
        <v>18</v>
      </c>
      <c r="E8" s="3" t="s">
        <v>18</v>
      </c>
      <c r="F8" s="3" t="s">
        <v>19</v>
      </c>
      <c r="G8" s="3" t="s">
        <v>19</v>
      </c>
    </row>
    <row r="9" spans="1:7" x14ac:dyDescent="0.2">
      <c r="B9" t="s">
        <v>20</v>
      </c>
      <c r="C9" t="s">
        <v>20</v>
      </c>
      <c r="D9" t="s">
        <v>17</v>
      </c>
      <c r="E9" t="s">
        <v>17</v>
      </c>
      <c r="F9" t="s">
        <v>17</v>
      </c>
      <c r="G9" t="s">
        <v>17</v>
      </c>
    </row>
    <row r="10" spans="1:7" x14ac:dyDescent="0.2">
      <c r="A10" t="s">
        <v>4</v>
      </c>
      <c r="B10" t="s">
        <v>12</v>
      </c>
      <c r="C10" t="s">
        <v>13</v>
      </c>
      <c r="D10" t="s">
        <v>13</v>
      </c>
      <c r="E10" t="s">
        <v>12</v>
      </c>
    </row>
    <row r="11" spans="1:7" x14ac:dyDescent="0.2">
      <c r="A11" t="s">
        <v>11</v>
      </c>
      <c r="B11">
        <v>250</v>
      </c>
      <c r="C11">
        <v>80</v>
      </c>
      <c r="D11">
        <v>1000</v>
      </c>
      <c r="E11">
        <v>1000</v>
      </c>
      <c r="F11">
        <v>1000</v>
      </c>
      <c r="G11">
        <v>1000</v>
      </c>
    </row>
    <row r="12" spans="1:7" x14ac:dyDescent="0.2">
      <c r="A12" t="s">
        <v>10</v>
      </c>
      <c r="B12">
        <v>0.33</v>
      </c>
      <c r="C12">
        <v>0.4</v>
      </c>
    </row>
    <row r="13" spans="1:7" x14ac:dyDescent="0.2">
      <c r="A13" t="s">
        <v>5</v>
      </c>
      <c r="B13" t="s">
        <v>12</v>
      </c>
      <c r="C13" t="s">
        <v>12</v>
      </c>
    </row>
    <row r="14" spans="1:7" x14ac:dyDescent="0.2">
      <c r="A14" t="s">
        <v>21</v>
      </c>
      <c r="B14" t="s">
        <v>25</v>
      </c>
      <c r="C14" t="s">
        <v>22</v>
      </c>
      <c r="D14" t="s">
        <v>23</v>
      </c>
      <c r="E14" t="s">
        <v>23</v>
      </c>
      <c r="F14" t="s">
        <v>24</v>
      </c>
      <c r="G14" t="s">
        <v>24</v>
      </c>
    </row>
    <row r="16" spans="1:7" x14ac:dyDescent="0.2">
      <c r="A16" t="s">
        <v>26</v>
      </c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</row>
    <row r="17" spans="1:7" x14ac:dyDescent="0.2">
      <c r="A17" t="s">
        <v>6</v>
      </c>
      <c r="B17">
        <v>126</v>
      </c>
      <c r="C17">
        <v>178</v>
      </c>
      <c r="D17">
        <v>234</v>
      </c>
      <c r="E17">
        <v>234</v>
      </c>
      <c r="F17">
        <v>127</v>
      </c>
      <c r="G17">
        <v>127</v>
      </c>
    </row>
    <row r="18" spans="1:7" x14ac:dyDescent="0.2">
      <c r="A18" t="s">
        <v>7</v>
      </c>
      <c r="B18">
        <v>48.8</v>
      </c>
      <c r="C18">
        <v>50</v>
      </c>
      <c r="D18" s="2">
        <v>0</v>
      </c>
      <c r="E18" s="2">
        <v>112</v>
      </c>
      <c r="F18" s="2">
        <v>53</v>
      </c>
      <c r="G18" s="2">
        <v>107</v>
      </c>
    </row>
    <row r="19" spans="1:7" x14ac:dyDescent="0.2">
      <c r="A19" t="s">
        <v>8</v>
      </c>
      <c r="B19">
        <f>($B$4-B11*2)*B12</f>
        <v>6.6000000000000005</v>
      </c>
      <c r="C19">
        <f>($B$4-C11*2)*C12</f>
        <v>144</v>
      </c>
      <c r="D19">
        <f>($B$4-D11*2)*D12</f>
        <v>0</v>
      </c>
      <c r="E19">
        <f t="shared" ref="D19:G19" si="0">($B$4-E11*2)*E12</f>
        <v>0</v>
      </c>
      <c r="F19">
        <f t="shared" si="0"/>
        <v>0</v>
      </c>
      <c r="G19">
        <f t="shared" si="0"/>
        <v>0</v>
      </c>
    </row>
    <row r="20" spans="1:7" x14ac:dyDescent="0.2">
      <c r="A20" t="s">
        <v>16</v>
      </c>
      <c r="B20" s="1">
        <f>B4/12*B5</f>
        <v>86.666666666666671</v>
      </c>
      <c r="C20">
        <v>0</v>
      </c>
      <c r="D20" s="1">
        <f>D4/12*D5</f>
        <v>0</v>
      </c>
      <c r="E20" s="1">
        <f>E4/12*E5</f>
        <v>0</v>
      </c>
      <c r="F20" s="1">
        <f>F4/12*F5</f>
        <v>0</v>
      </c>
      <c r="G20" s="1">
        <f>G4/12*G5</f>
        <v>0</v>
      </c>
    </row>
    <row r="21" spans="1:7" x14ac:dyDescent="0.2">
      <c r="A21" t="s">
        <v>15</v>
      </c>
      <c r="B21" s="1">
        <v>50</v>
      </c>
      <c r="C21" s="1">
        <v>50</v>
      </c>
      <c r="D21" s="1">
        <v>50</v>
      </c>
      <c r="E21" s="1">
        <v>50</v>
      </c>
      <c r="F21" s="1">
        <v>50</v>
      </c>
      <c r="G21" s="1">
        <v>50</v>
      </c>
    </row>
    <row r="22" spans="1:7" x14ac:dyDescent="0.2">
      <c r="A22" t="s">
        <v>3</v>
      </c>
      <c r="B22" s="1">
        <f>SUM(B17:B20)</f>
        <v>268.06666666666666</v>
      </c>
      <c r="C22">
        <f>SUM(C17:C20)</f>
        <v>372</v>
      </c>
      <c r="D22">
        <f>SUM(D17:D20)</f>
        <v>234</v>
      </c>
      <c r="E22">
        <f>SUM(E17:E20)</f>
        <v>346</v>
      </c>
      <c r="F22" s="1">
        <f>SUM(F17:F20)</f>
        <v>180</v>
      </c>
      <c r="G22" s="1">
        <f>SUM(G17:G20)</f>
        <v>234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Ujjal Dey</dc:creator>
  <cp:lastModifiedBy>Ujjal Dey</cp:lastModifiedBy>
  <dcterms:created xsi:type="dcterms:W3CDTF">2026-08-15T00:53:56Z</dcterms:created>
  <dcterms:modified xsi:type="dcterms:W3CDTF">2026-08-15T02:17:50Z</dcterms:modified>
</cp:coreProperties>
</file>